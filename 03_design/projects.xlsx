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0" windowWidth="28695" windowHeight="13050"/>
  </bookViews>
  <sheets>
    <sheet name="Folha1" sheetId="1" r:id="rId1"/>
    <sheet name="Folha2" sheetId="2" r:id="rId2"/>
    <sheet name="Folha3" sheetId="3" r:id="rId3"/>
  </sheets>
  <calcPr calcId="124519"/>
</workbook>
</file>

<file path=xl/calcChain.xml><?xml version="1.0" encoding="utf-8"?>
<calcChain xmlns="http://schemas.openxmlformats.org/spreadsheetml/2006/main">
  <c r="A11" i="1"/>
  <c r="A6"/>
  <c r="A7" s="1"/>
  <c r="A8" s="1"/>
  <c r="A9" s="1"/>
  <c r="A10" s="1"/>
  <c r="A5"/>
  <c r="A4"/>
  <c r="A12" l="1"/>
  <c r="A13" s="1"/>
  <c r="A14" s="1"/>
  <c r="A15" s="1"/>
  <c r="A16" s="1"/>
  <c r="A17" s="1"/>
  <c r="A18" s="1"/>
  <c r="A19" s="1"/>
  <c r="A20" s="1"/>
  <c r="A21" s="1"/>
</calcChain>
</file>

<file path=xl/sharedStrings.xml><?xml version="1.0" encoding="utf-8"?>
<sst xmlns="http://schemas.openxmlformats.org/spreadsheetml/2006/main" count="100" uniqueCount="81">
  <si>
    <t>id</t>
  </si>
  <si>
    <t>pName</t>
  </si>
  <si>
    <t>pDescription</t>
  </si>
  <si>
    <t>pBriefingProblem</t>
  </si>
  <si>
    <t>pBriefingSolution</t>
  </si>
  <si>
    <t>pBurden</t>
  </si>
  <si>
    <t>pProcess</t>
  </si>
  <si>
    <t>pOutLink</t>
  </si>
  <si>
    <t>pClient</t>
  </si>
  <si>
    <t>pClientLink</t>
  </si>
  <si>
    <t>pClientDescription</t>
  </si>
  <si>
    <t>pTools</t>
  </si>
  <si>
    <t>pFilters</t>
  </si>
  <si>
    <t>pYear</t>
  </si>
  <si>
    <t>pImages</t>
  </si>
  <si>
    <t>kimmidoll - haruyo</t>
  </si>
  <si>
    <t>Illustrator</t>
  </si>
  <si>
    <t>musashi tiger</t>
  </si>
  <si>
    <t>jaco pastorius</t>
  </si>
  <si>
    <t>Photoshop</t>
  </si>
  <si>
    <t>Illustrator; Photoshop</t>
  </si>
  <si>
    <t>Flash</t>
  </si>
  <si>
    <t>pothos</t>
  </si>
  <si>
    <t>reativ</t>
  </si>
  <si>
    <t>red bull air race setúbal</t>
  </si>
  <si>
    <t>vinhos e adegas</t>
  </si>
  <si>
    <t>pacman ?</t>
  </si>
  <si>
    <t>cookidoo</t>
  </si>
  <si>
    <t>An alternative packaging design for an existing market product, created according to the size and proportion guidelines provided by the instructor.</t>
  </si>
  <si>
    <t>Poster and Facebook Cover Design
Creation of a poster and a Facebook cover for a real event, using fictional date and location at our discretion.
[Mockup used: https://mockups-design.com/isolated-glued-poster-mockup-no-2]</t>
  </si>
  <si>
    <t>Magazine Creation and Layout from Scratch
Using information and images provided on the Casa Mãe da Rota dos Vinhos website.</t>
  </si>
  <si>
    <t>Creation/Improvement of a Mobile App to Assist in Cooking/Restaurant
Focus: a new feature based on user needs identified during the research phase.</t>
  </si>
  <si>
    <t>projecto 360: tap</t>
  </si>
  <si>
    <t>Improve this homepage component to meet the briefing requirements by integrating the preference search currently hidden in the menu, as shown below.</t>
  </si>
  <si>
    <t>Photomontage using three images and the necessary adjustments.</t>
  </si>
  <si>
    <t>Fill Me Up</t>
  </si>
  <si>
    <t>web site?</t>
  </si>
  <si>
    <t>php site?</t>
  </si>
  <si>
    <t>afghan girl</t>
  </si>
  <si>
    <t>academic</t>
  </si>
  <si>
    <t>academic; internship</t>
  </si>
  <si>
    <t>Side Project</t>
  </si>
  <si>
    <t>photography ?</t>
  </si>
  <si>
    <t>Photoshop; InDesign</t>
  </si>
  <si>
    <t>Figma</t>
  </si>
  <si>
    <t>Premier</t>
  </si>
  <si>
    <t>HTML; CSS; JavaScript; PHP</t>
  </si>
  <si>
    <t>amazon in flames</t>
  </si>
  <si>
    <t>https://www.behance.net/ricardomfvenancio</t>
  </si>
  <si>
    <t>https://reativ.com/pt</t>
  </si>
  <si>
    <t>https://www.youtube.com/watch?v=_KBjhY2Rz50</t>
  </si>
  <si>
    <t>Making of: https://www.youtube.com/watch?v=dCyLvDY2pSs</t>
  </si>
  <si>
    <t>Practical Exercise from Digital Painting Workshop
Part of the Graphic Design course at Flag.
Original artwork created by instructor Ricardo Venâncio.</t>
  </si>
  <si>
    <t>Photo Vectorization using Adobe Illustrator
Color finishing done with Adobe Photoshop.
Jaco Pastorius, photo by Ichiro Shimizu.</t>
  </si>
  <si>
    <t>Portraid Vectorization using Adobe Flash.
Sharbat Gula, photo by Steve McCurry.
Mockup: Isolated Glued Poster Mockup No. 2</t>
  </si>
  <si>
    <t>Foi assim proposta uma solução com regras estipuladas num livro de normas gráficas.</t>
  </si>
  <si>
    <t>Nocurso de Graphic Design, após finalizarmos os módulos relativos a vectorização, teríamos que desenvolver um projecto para aplicar os conhecimentos e comprovar competências. Assim, a formadora deu-nos a oportunidade de o fazer com um cliente real, a modos de conseguir um rebranding de uma empresa de desenvolvimento de software. Cada um dos formandos da turma desenvolveu a sua solução, sendo que uma delas seria escolhida pelo cliente.</t>
  </si>
  <si>
    <t>O cliente foi-nos apresentado numa entrevista online na qual se pronunciou aquanto as suas intenções de imagem e abordagem para com os seus clientes. Foi depois feita uma pesquisa sobre marcas desta área, absorvidos os conceitos e, depois, desenvolvido o logótipo sob supervisão constante tanto da formadora como do cliente, selecionando opções e guiando cada um dos formandos para a solução final. Foi depois desenvolvido um livro de normas gráficas a serem aplicadas sobre a solução assim como também algumas aplicações da mesma.</t>
  </si>
  <si>
    <t>reativ, software solutions</t>
  </si>
  <si>
    <t xml:space="preserve">Logo Rebranding and Style Guide
Project developed for a real company.
</t>
  </si>
  <si>
    <t>Reativ is a company that develops software solutions.</t>
  </si>
  <si>
    <t xml:space="preserve">Brand Identity and Style Guide.
Project developed for a fictional company.
</t>
  </si>
  <si>
    <t>Pothos would be a physical and online store dedicated to sell classic video games. It also includes a repair workshop for retro consoles and organizes events and tournaments related to vintage gaming.</t>
  </si>
  <si>
    <t>Pothos</t>
  </si>
  <si>
    <t>Fazer de raíz um logótipo para uma empresa fictícia, comprovando as aptidões e conhecimentos adquiridos ao longo dos módulos relacionados com graphic design e vectorização.</t>
  </si>
  <si>
    <t>Foi assim proposta uma empresa fictícia relacionada com a área do retro-gaming, perfazendo uma abordagem gráfica experimental.</t>
  </si>
  <si>
    <t>Após uma pesquisa sobre o conceito percebi que esta é uma área que tem sido bastante explorada nos últimos anos. Aquilo que seria uma subreposta superfície de compra e venda de videojogos retro, tornou-se num complexo com várias áreas de abordagem à temática. Foram feitos estudos de forma e cor de forma justificada e aplicados os conceitos num livro de normas gráficas.</t>
  </si>
  <si>
    <t>This project focuses primarily on topics related to video conception and editing, image editing and manipulation, and also web pages creation. The deliverables include a personal film of up to eight minutes in length and a promotional poster, both presented on a webpage built from scratch.</t>
  </si>
  <si>
    <t>For this project, I decided to create a stop-motion animation based on an idea I had a few years ago, which I never fully developed beyond some sketches of characters and story context.  Although the stop-motion technique is somewhat outside the typical Multimedia course theme, it requires careful and delicate pre- and post-production work—processes that incorporate many of the skills I acquired during the course.</t>
  </si>
  <si>
    <t xml:space="preserve">In a Simulated Practice context, given the impossibility of completing the Work-Based Training component in the EFA-NS Multimedia Technician course 006 at IEFP Setúbal—due to complications related to the current pandemic situation—our class was required to complete an individual Final Project aimed at demonstrating the skills acquired throughout the course.
All of this was carried out under the guidance of instructor Ana Filipa Mendes over approximately six weeks, fulfilling the required 210 hours for this purpose.
</t>
  </si>
  <si>
    <t>No módulo de animação 2d, foi-nos proposto fazer uma vectorização de rosto a ser desenvolvida ao longo do curso, a ser entregue antes do final do mesmo.</t>
  </si>
  <si>
    <t xml:space="preserve">Escolhi assim a íconica fotografia de SteveMcCurry para conseguir este desafio. </t>
  </si>
  <si>
    <t>Sendo que teríamos perto de um ano para ir desenvolvendo este projecto, seria expectável conseguir algo graficamente interessante. Eventualmente, semanas após o desafio ser entregue, entrámos em confinamento devido à COVID-19, ficando o curso "congelado" algumas semanas. Este foi um dos projectos a que me dediquei durante todo esse tempo de isolamento.</t>
  </si>
  <si>
    <t>no módulo de vectorização, foi-nos requerido fazer uma vectorização de uma fotografia.</t>
  </si>
  <si>
    <t>Seleccionei o único e inspirador Jaco Pastorius para conseguir este feito.</t>
  </si>
  <si>
    <t>Foram ncessários alguns dias para conseguir o feito, dado o detalhe, mas uma mesa stylus acelarou bastante o processo.</t>
  </si>
  <si>
    <t>Hoje teria uma abordagem um pouco diferente, aplicando o glitch ao isótipo e mantendo a letring intacto. Nada mau para quem estudava e trabalhava, dormia 3 horas por dia e estava a executar alguns trabalhos académicos ao mesmo tempo.</t>
  </si>
  <si>
    <t>Practical Exercise from the Packaging Workshop included in Flag's Graphic Design course.</t>
  </si>
  <si>
    <t>Após seleccionada uma das personagens disponíveis, foi extraída a sua informação relativa no site oficial e feita uma composição gráfica dentro da área disponível.</t>
  </si>
  <si>
    <t>pAnalysisAndNotes</t>
  </si>
  <si>
    <t>Dado que não encontrei mockups disponiveis com estas medidas específicas, optei por imprimir o exemplar em tamanho A3 e eu mesmo tirar as fotografias do mesmo para questões de portfolio.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</si>
</sst>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alignment vertical="top"/>
      <protection locked="0"/>
    </xf>
  </cellStyleXfs>
  <cellXfs count="14">
    <xf numFmtId="0" fontId="0" fillId="0" borderId="0" xfId="0"/>
    <xf numFmtId="0" fontId="0" fillId="0" borderId="0" xfId="0" applyAlignment="1">
      <alignment horizontal="left" vertical="center"/>
    </xf>
    <xf numFmtId="0" fontId="0" fillId="0" borderId="0" xfId="0" applyFont="1" applyAlignment="1">
      <alignment horizontal="center" vertical="center"/>
    </xf>
    <xf numFmtId="0" fontId="0" fillId="0" borderId="0" xfId="0" applyFont="1" applyAlignment="1">
      <alignment horizontal="center"/>
    </xf>
    <xf numFmtId="0" fontId="0" fillId="0" borderId="0" xfId="0" applyAlignment="1">
      <alignment horizontal="center" vertical="center"/>
    </xf>
    <xf numFmtId="0" fontId="0" fillId="0" borderId="1" xfId="0" applyBorder="1" applyAlignment="1">
      <alignment horizontal="center" vertical="top" wrapText="1"/>
    </xf>
    <xf numFmtId="0" fontId="0" fillId="0" borderId="0" xfId="0" applyFont="1" applyAlignment="1">
      <alignment horizontal="left" vertical="center"/>
    </xf>
    <xf numFmtId="0" fontId="0" fillId="0" borderId="0" xfId="0" applyAlignment="1">
      <alignment horizontal="left" vertical="top" wrapText="1"/>
    </xf>
    <xf numFmtId="0" fontId="0" fillId="0" borderId="0" xfId="0" applyAlignment="1">
      <alignment horizontal="center" vertical="top" wrapText="1"/>
    </xf>
    <xf numFmtId="0" fontId="1" fillId="0" borderId="0" xfId="1" applyAlignment="1" applyProtection="1">
      <alignment horizontal="left" vertical="top" wrapText="1"/>
    </xf>
    <xf numFmtId="0" fontId="0" fillId="0" borderId="0" xfId="0" applyNumberFormat="1" applyAlignment="1">
      <alignment horizontal="left" vertical="top" wrapText="1"/>
    </xf>
    <xf numFmtId="0" fontId="0" fillId="0" borderId="0" xfId="0" applyFont="1" applyAlignment="1">
      <alignment horizontal="left" vertical="top" wrapText="1"/>
    </xf>
    <xf numFmtId="0" fontId="0" fillId="0" borderId="0" xfId="0" applyAlignment="1">
      <alignment vertical="top" wrapText="1"/>
    </xf>
    <xf numFmtId="0" fontId="0" fillId="0" borderId="0" xfId="0" applyNumberFormat="1" applyFont="1" applyAlignment="1">
      <alignment horizontal="left" vertical="top" wrapText="1"/>
    </xf>
  </cellXfs>
  <cellStyles count="2">
    <cellStyle name="Hiperligação"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_KBjhY2Rz50" TargetMode="External"/><Relationship Id="rId2" Type="http://schemas.openxmlformats.org/officeDocument/2006/relationships/hyperlink" Target="https://reativ.com/pt" TargetMode="External"/><Relationship Id="rId1" Type="http://schemas.openxmlformats.org/officeDocument/2006/relationships/hyperlink" Target="https://www.behance.net/ricardomfvenancio" TargetMode="External"/><Relationship Id="rId5" Type="http://schemas.openxmlformats.org/officeDocument/2006/relationships/printerSettings" Target="../printerSettings/printerSettings1.bin"/><Relationship Id="rId4" Type="http://schemas.openxmlformats.org/officeDocument/2006/relationships/hyperlink" Target="https://www.youtube.com/watch?v=dCyLvDY2pSs" TargetMode="External"/></Relationships>
</file>

<file path=xl/worksheets/sheet1.xml><?xml version="1.0" encoding="utf-8"?>
<worksheet xmlns="http://schemas.openxmlformats.org/spreadsheetml/2006/main" xmlns:r="http://schemas.openxmlformats.org/officeDocument/2006/relationships">
  <dimension ref="A1:P21"/>
  <sheetViews>
    <sheetView tabSelected="1" zoomScale="115" zoomScaleNormal="115" workbookViewId="0">
      <pane ySplit="1" topLeftCell="A2" activePane="bottomLeft" state="frozen"/>
      <selection pane="bottomLeft" activeCell="B2" sqref="B2"/>
    </sheetView>
  </sheetViews>
  <sheetFormatPr defaultRowHeight="15"/>
  <cols>
    <col min="1" max="1" width="9.140625" style="4" customWidth="1"/>
    <col min="2" max="2" width="22.140625" style="7" bestFit="1" customWidth="1"/>
    <col min="3" max="3" width="56.7109375" style="7" bestFit="1" customWidth="1"/>
    <col min="4" max="4" width="22.28515625" style="12" bestFit="1" customWidth="1"/>
    <col min="5" max="5" width="22.140625" style="12" bestFit="1" customWidth="1"/>
    <col min="6" max="6" width="13.85546875" style="12" bestFit="1" customWidth="1"/>
    <col min="7" max="8" width="37.140625" style="12" customWidth="1"/>
    <col min="9" max="9" width="14.28515625" style="12" bestFit="1" customWidth="1"/>
    <col min="10" max="10" width="12.5703125" style="12" bestFit="1" customWidth="1"/>
    <col min="11" max="11" width="16.28515625" style="12" bestFit="1" customWidth="1"/>
    <col min="12" max="12" width="23.140625" style="12" bestFit="1" customWidth="1"/>
    <col min="13" max="13" width="12" style="7" bestFit="1" customWidth="1"/>
    <col min="14" max="14" width="12.85546875" style="7" bestFit="1" customWidth="1"/>
    <col min="15" max="15" width="11.140625" style="12" bestFit="1" customWidth="1"/>
    <col min="16" max="16" width="13.7109375" style="12" bestFit="1" customWidth="1"/>
  </cols>
  <sheetData>
    <row r="1" spans="1:16" s="3" customFormat="1" ht="15.75" thickBot="1">
      <c r="A1" s="2" t="s">
        <v>0</v>
      </c>
      <c r="B1" s="5" t="s">
        <v>1</v>
      </c>
      <c r="C1" s="7" t="s">
        <v>2</v>
      </c>
      <c r="D1" s="8" t="s">
        <v>3</v>
      </c>
      <c r="E1" s="8" t="s">
        <v>4</v>
      </c>
      <c r="F1" s="8" t="s">
        <v>5</v>
      </c>
      <c r="G1" s="8" t="s">
        <v>6</v>
      </c>
      <c r="H1" s="8" t="s">
        <v>79</v>
      </c>
      <c r="I1" s="8" t="s">
        <v>7</v>
      </c>
      <c r="J1" s="8" t="s">
        <v>8</v>
      </c>
      <c r="K1" s="8" t="s">
        <v>9</v>
      </c>
      <c r="L1" s="8" t="s">
        <v>10</v>
      </c>
      <c r="M1" s="7" t="s">
        <v>11</v>
      </c>
      <c r="N1" s="7" t="s">
        <v>12</v>
      </c>
      <c r="O1" s="8" t="s">
        <v>13</v>
      </c>
      <c r="P1" s="8" t="s">
        <v>14</v>
      </c>
    </row>
    <row r="2" spans="1:16" s="1" customFormat="1" ht="120">
      <c r="A2" s="4">
        <v>0</v>
      </c>
      <c r="B2" s="7" t="s">
        <v>15</v>
      </c>
      <c r="C2" s="7" t="s">
        <v>77</v>
      </c>
      <c r="D2" s="7" t="s">
        <v>28</v>
      </c>
      <c r="E2" s="7"/>
      <c r="F2" s="7"/>
      <c r="G2" s="7" t="s">
        <v>78</v>
      </c>
      <c r="H2" s="7" t="s">
        <v>80</v>
      </c>
      <c r="I2" s="7"/>
      <c r="J2" s="7"/>
      <c r="K2" s="7"/>
      <c r="L2" s="7"/>
      <c r="M2" s="7" t="s">
        <v>16</v>
      </c>
      <c r="N2" s="7" t="s">
        <v>39</v>
      </c>
      <c r="O2" s="7"/>
      <c r="P2" s="7"/>
    </row>
    <row r="3" spans="1:16" s="1" customFormat="1" ht="30">
      <c r="A3" s="4">
        <v>1</v>
      </c>
      <c r="B3" s="7" t="s">
        <v>47</v>
      </c>
      <c r="C3" s="7" t="s">
        <v>34</v>
      </c>
      <c r="D3" s="7"/>
      <c r="E3" s="7"/>
      <c r="F3" s="7"/>
      <c r="G3" s="7"/>
      <c r="H3" s="7"/>
      <c r="I3" s="7"/>
      <c r="J3" s="7"/>
      <c r="K3" s="7"/>
      <c r="L3" s="7"/>
      <c r="M3" s="7" t="s">
        <v>19</v>
      </c>
      <c r="N3" s="7" t="s">
        <v>39</v>
      </c>
      <c r="O3" s="7"/>
      <c r="P3" s="7"/>
    </row>
    <row r="4" spans="1:16" s="1" customFormat="1" ht="45">
      <c r="A4" s="4">
        <f>SUM(A3+1)</f>
        <v>2</v>
      </c>
      <c r="B4" s="7" t="s">
        <v>17</v>
      </c>
      <c r="C4" s="7" t="s">
        <v>52</v>
      </c>
      <c r="D4" s="7"/>
      <c r="E4" s="7"/>
      <c r="F4" s="7"/>
      <c r="G4" s="7"/>
      <c r="H4" s="7"/>
      <c r="I4" s="7"/>
      <c r="J4" s="7"/>
      <c r="K4" s="9" t="s">
        <v>48</v>
      </c>
      <c r="L4" s="7"/>
      <c r="M4" s="7" t="s">
        <v>19</v>
      </c>
      <c r="N4" s="7" t="s">
        <v>39</v>
      </c>
      <c r="O4" s="7"/>
      <c r="P4" s="7"/>
    </row>
    <row r="5" spans="1:16" s="1" customFormat="1" ht="75">
      <c r="A5" s="4">
        <f t="shared" ref="A5:A20" si="0">SUM(A4+1)</f>
        <v>3</v>
      </c>
      <c r="B5" s="7" t="s">
        <v>18</v>
      </c>
      <c r="C5" s="7" t="s">
        <v>53</v>
      </c>
      <c r="D5" s="7" t="s">
        <v>73</v>
      </c>
      <c r="E5" s="7" t="s">
        <v>74</v>
      </c>
      <c r="F5" s="7"/>
      <c r="G5" s="7" t="s">
        <v>75</v>
      </c>
      <c r="H5" s="7"/>
      <c r="I5" s="7"/>
      <c r="J5" s="7"/>
      <c r="K5" s="7"/>
      <c r="L5" s="7"/>
      <c r="M5" s="7" t="s">
        <v>20</v>
      </c>
      <c r="N5" s="7" t="s">
        <v>39</v>
      </c>
      <c r="O5" s="7"/>
      <c r="P5" s="7"/>
    </row>
    <row r="6" spans="1:16" s="1" customFormat="1" ht="165">
      <c r="A6" s="4">
        <f t="shared" si="0"/>
        <v>4</v>
      </c>
      <c r="B6" s="7" t="s">
        <v>38</v>
      </c>
      <c r="C6" s="7" t="s">
        <v>54</v>
      </c>
      <c r="D6" s="7" t="s">
        <v>70</v>
      </c>
      <c r="E6" s="7" t="s">
        <v>71</v>
      </c>
      <c r="F6" s="7"/>
      <c r="G6" s="7" t="s">
        <v>72</v>
      </c>
      <c r="H6" s="7"/>
      <c r="I6" s="7"/>
      <c r="J6" s="7"/>
      <c r="K6" s="7"/>
      <c r="L6" s="7"/>
      <c r="M6" s="7" t="s">
        <v>21</v>
      </c>
      <c r="N6" s="7" t="s">
        <v>39</v>
      </c>
      <c r="O6" s="7"/>
      <c r="P6" s="7"/>
    </row>
    <row r="7" spans="1:16" s="1" customFormat="1" ht="165">
      <c r="A7" s="4">
        <f t="shared" si="0"/>
        <v>5</v>
      </c>
      <c r="B7" s="7" t="s">
        <v>22</v>
      </c>
      <c r="C7" s="7" t="s">
        <v>61</v>
      </c>
      <c r="D7" s="7" t="s">
        <v>64</v>
      </c>
      <c r="E7" s="7" t="s">
        <v>65</v>
      </c>
      <c r="F7" s="7"/>
      <c r="G7" s="7" t="s">
        <v>66</v>
      </c>
      <c r="H7" s="7" t="s">
        <v>76</v>
      </c>
      <c r="I7" s="7"/>
      <c r="J7" s="7" t="s">
        <v>63</v>
      </c>
      <c r="K7" s="7"/>
      <c r="L7" s="7" t="s">
        <v>62</v>
      </c>
      <c r="M7" s="7" t="s">
        <v>16</v>
      </c>
      <c r="N7" s="7" t="s">
        <v>39</v>
      </c>
      <c r="O7" s="7">
        <v>2021</v>
      </c>
      <c r="P7" s="7"/>
    </row>
    <row r="8" spans="1:16" s="1" customFormat="1" ht="360">
      <c r="A8" s="4">
        <f t="shared" si="0"/>
        <v>6</v>
      </c>
      <c r="B8" s="7" t="s">
        <v>23</v>
      </c>
      <c r="C8" s="7" t="s">
        <v>59</v>
      </c>
      <c r="D8" s="10" t="s">
        <v>56</v>
      </c>
      <c r="E8" s="7" t="s">
        <v>55</v>
      </c>
      <c r="F8" s="7"/>
      <c r="G8" s="7" t="s">
        <v>57</v>
      </c>
      <c r="I8" s="7"/>
      <c r="J8" s="7" t="s">
        <v>58</v>
      </c>
      <c r="K8" s="9" t="s">
        <v>49</v>
      </c>
      <c r="L8" s="7" t="s">
        <v>60</v>
      </c>
      <c r="M8" s="7" t="s">
        <v>16</v>
      </c>
      <c r="N8" s="7" t="s">
        <v>39</v>
      </c>
      <c r="O8" s="7">
        <v>2022</v>
      </c>
      <c r="P8" s="7"/>
    </row>
    <row r="9" spans="1:16" s="6" customFormat="1" ht="75">
      <c r="A9" s="2">
        <f t="shared" si="0"/>
        <v>7</v>
      </c>
      <c r="B9" s="11" t="s">
        <v>24</v>
      </c>
      <c r="C9" s="7" t="s">
        <v>29</v>
      </c>
      <c r="D9" s="11"/>
      <c r="E9" s="11"/>
      <c r="F9" s="11"/>
      <c r="G9" s="7"/>
      <c r="H9" s="7"/>
      <c r="I9" s="11"/>
      <c r="J9" s="11"/>
      <c r="K9" s="11"/>
      <c r="L9" s="11"/>
      <c r="M9" s="7" t="s">
        <v>19</v>
      </c>
      <c r="N9" s="7" t="s">
        <v>39</v>
      </c>
      <c r="O9" s="11"/>
      <c r="P9" s="11"/>
    </row>
    <row r="10" spans="1:16" s="6" customFormat="1" ht="45">
      <c r="A10" s="2">
        <f t="shared" si="0"/>
        <v>8</v>
      </c>
      <c r="B10" s="11" t="s">
        <v>25</v>
      </c>
      <c r="C10" s="7" t="s">
        <v>30</v>
      </c>
      <c r="D10" s="11"/>
      <c r="E10" s="11"/>
      <c r="F10" s="11"/>
      <c r="G10" s="11"/>
      <c r="H10" s="11"/>
      <c r="I10" s="11"/>
      <c r="J10" s="11"/>
      <c r="K10" s="11"/>
      <c r="L10" s="11"/>
      <c r="M10" s="7" t="s">
        <v>43</v>
      </c>
      <c r="N10" s="7" t="s">
        <v>39</v>
      </c>
      <c r="O10" s="11"/>
      <c r="P10" s="11"/>
    </row>
    <row r="11" spans="1:16" s="6" customFormat="1" ht="60">
      <c r="A11" s="2">
        <f t="shared" si="0"/>
        <v>9</v>
      </c>
      <c r="B11" s="7" t="s">
        <v>27</v>
      </c>
      <c r="C11" s="7" t="s">
        <v>31</v>
      </c>
      <c r="D11" s="11"/>
      <c r="E11" s="11"/>
      <c r="F11" s="11"/>
      <c r="G11" s="11"/>
      <c r="H11" s="11"/>
      <c r="I11" s="11"/>
      <c r="J11" s="11"/>
      <c r="K11" s="11"/>
      <c r="L11" s="11"/>
      <c r="M11" s="7" t="s">
        <v>44</v>
      </c>
      <c r="N11" s="7" t="s">
        <v>39</v>
      </c>
      <c r="O11" s="11"/>
      <c r="P11" s="11"/>
    </row>
    <row r="12" spans="1:16" s="6" customFormat="1" ht="45">
      <c r="A12" s="2">
        <f>SUM(A11+1)</f>
        <v>10</v>
      </c>
      <c r="B12" s="7" t="s">
        <v>32</v>
      </c>
      <c r="C12" s="7" t="s">
        <v>33</v>
      </c>
      <c r="D12" s="11"/>
      <c r="E12" s="11"/>
      <c r="F12" s="11"/>
      <c r="G12" s="11"/>
      <c r="H12" s="11"/>
      <c r="I12" s="11"/>
      <c r="J12" s="11"/>
      <c r="K12" s="11"/>
      <c r="L12" s="11"/>
      <c r="M12" s="7" t="s">
        <v>44</v>
      </c>
      <c r="N12" s="7" t="s">
        <v>39</v>
      </c>
      <c r="O12" s="11"/>
      <c r="P12" s="11"/>
    </row>
    <row r="13" spans="1:16" s="6" customFormat="1" ht="300">
      <c r="A13" s="2">
        <f t="shared" si="0"/>
        <v>11</v>
      </c>
      <c r="B13" s="7" t="s">
        <v>35</v>
      </c>
      <c r="C13" s="9" t="s">
        <v>50</v>
      </c>
      <c r="D13" s="13" t="s">
        <v>67</v>
      </c>
      <c r="E13" s="7" t="s">
        <v>68</v>
      </c>
      <c r="F13" s="11"/>
      <c r="G13" s="7" t="s">
        <v>69</v>
      </c>
      <c r="H13" s="7"/>
      <c r="I13" s="11"/>
      <c r="J13" s="11"/>
      <c r="K13" s="11"/>
      <c r="L13" s="11"/>
      <c r="M13" s="7" t="s">
        <v>45</v>
      </c>
      <c r="N13" s="7" t="s">
        <v>40</v>
      </c>
      <c r="O13" s="11"/>
      <c r="P13" s="9" t="s">
        <v>51</v>
      </c>
    </row>
    <row r="14" spans="1:16" s="6" customFormat="1">
      <c r="A14" s="2">
        <f t="shared" si="0"/>
        <v>12</v>
      </c>
      <c r="B14" s="11"/>
      <c r="C14" s="11"/>
      <c r="D14" s="11"/>
      <c r="E14" s="11"/>
      <c r="F14" s="11"/>
      <c r="G14" s="11"/>
      <c r="H14" s="11"/>
      <c r="I14" s="11"/>
      <c r="J14" s="11"/>
      <c r="K14" s="11"/>
      <c r="L14" s="11"/>
      <c r="M14" s="11"/>
      <c r="N14" s="11"/>
      <c r="O14" s="11"/>
      <c r="P14" s="11"/>
    </row>
    <row r="15" spans="1:16" s="6" customFormat="1">
      <c r="A15" s="2">
        <f t="shared" si="0"/>
        <v>13</v>
      </c>
      <c r="B15" s="11"/>
      <c r="C15" s="11"/>
      <c r="D15" s="11"/>
      <c r="E15" s="11"/>
      <c r="F15" s="11"/>
      <c r="G15" s="11"/>
      <c r="H15" s="11"/>
      <c r="I15" s="11"/>
      <c r="J15" s="11"/>
      <c r="K15" s="11"/>
      <c r="L15" s="11"/>
      <c r="M15" s="11"/>
      <c r="N15" s="11"/>
      <c r="O15" s="11"/>
      <c r="P15" s="11"/>
    </row>
    <row r="16" spans="1:16" s="6" customFormat="1">
      <c r="A16" s="2">
        <f t="shared" si="0"/>
        <v>14</v>
      </c>
      <c r="B16" s="11"/>
      <c r="C16" s="11"/>
      <c r="D16" s="11"/>
      <c r="E16" s="11"/>
      <c r="F16" s="11"/>
      <c r="G16" s="11"/>
      <c r="H16" s="11"/>
      <c r="I16" s="11"/>
      <c r="J16" s="11"/>
      <c r="K16" s="11"/>
      <c r="L16" s="11"/>
      <c r="M16" s="11"/>
      <c r="N16" s="11"/>
      <c r="O16" s="11"/>
      <c r="P16" s="11"/>
    </row>
    <row r="17" spans="1:16" s="6" customFormat="1">
      <c r="A17" s="2">
        <f t="shared" si="0"/>
        <v>15</v>
      </c>
      <c r="B17" s="11"/>
      <c r="C17" s="11"/>
      <c r="D17" s="11"/>
      <c r="E17" s="11"/>
      <c r="F17" s="11"/>
      <c r="G17" s="11"/>
      <c r="H17" s="11"/>
      <c r="I17" s="11"/>
      <c r="J17" s="11"/>
      <c r="K17" s="11"/>
      <c r="L17" s="11"/>
      <c r="M17" s="11"/>
      <c r="N17" s="11"/>
      <c r="O17" s="11"/>
      <c r="P17" s="11"/>
    </row>
    <row r="18" spans="1:16" s="6" customFormat="1">
      <c r="A18" s="2">
        <f t="shared" si="0"/>
        <v>16</v>
      </c>
      <c r="B18" s="7" t="s">
        <v>42</v>
      </c>
      <c r="C18" s="11"/>
      <c r="D18" s="11"/>
      <c r="E18" s="11"/>
      <c r="F18" s="11"/>
      <c r="G18" s="11"/>
      <c r="H18" s="11"/>
      <c r="I18" s="11"/>
      <c r="J18" s="11"/>
      <c r="K18" s="11"/>
      <c r="L18" s="11"/>
      <c r="M18" s="11"/>
      <c r="N18" s="7" t="s">
        <v>41</v>
      </c>
      <c r="O18" s="11"/>
      <c r="P18" s="11"/>
    </row>
    <row r="19" spans="1:16" s="6" customFormat="1">
      <c r="A19" s="2">
        <f t="shared" si="0"/>
        <v>17</v>
      </c>
      <c r="B19" s="7" t="s">
        <v>37</v>
      </c>
      <c r="C19" s="11"/>
      <c r="D19" s="11"/>
      <c r="E19" s="11"/>
      <c r="F19" s="11"/>
      <c r="G19" s="11"/>
      <c r="H19" s="11"/>
      <c r="I19" s="11"/>
      <c r="J19" s="11"/>
      <c r="K19" s="11"/>
      <c r="L19" s="11"/>
      <c r="M19" s="11"/>
      <c r="N19" s="7" t="s">
        <v>39</v>
      </c>
      <c r="O19" s="11"/>
      <c r="P19" s="11"/>
    </row>
    <row r="20" spans="1:16" s="6" customFormat="1" ht="45">
      <c r="A20" s="2">
        <f t="shared" si="0"/>
        <v>18</v>
      </c>
      <c r="B20" s="7" t="s">
        <v>36</v>
      </c>
      <c r="C20" s="11"/>
      <c r="D20" s="11"/>
      <c r="E20" s="11"/>
      <c r="F20" s="11"/>
      <c r="G20" s="11"/>
      <c r="H20" s="11"/>
      <c r="I20" s="11"/>
      <c r="J20" s="11"/>
      <c r="K20" s="11"/>
      <c r="L20" s="11"/>
      <c r="M20" s="7" t="s">
        <v>46</v>
      </c>
      <c r="N20" s="7" t="s">
        <v>39</v>
      </c>
      <c r="O20" s="11"/>
      <c r="P20" s="11"/>
    </row>
    <row r="21" spans="1:16" s="6" customFormat="1">
      <c r="A21" s="2">
        <f>SUM(A20+1)</f>
        <v>19</v>
      </c>
      <c r="B21" s="7" t="s">
        <v>26</v>
      </c>
      <c r="C21" s="11"/>
      <c r="D21" s="11"/>
      <c r="E21" s="11"/>
      <c r="F21" s="11"/>
      <c r="G21" s="11"/>
      <c r="H21" s="11"/>
      <c r="I21" s="11"/>
      <c r="J21" s="11"/>
      <c r="K21" s="11"/>
      <c r="L21" s="11"/>
      <c r="M21" s="7" t="s">
        <v>21</v>
      </c>
      <c r="N21" s="7" t="s">
        <v>39</v>
      </c>
      <c r="O21" s="11"/>
      <c r="P21" s="11"/>
    </row>
  </sheetData>
  <hyperlinks>
    <hyperlink ref="K4" r:id="rId1"/>
    <hyperlink ref="K8" r:id="rId2"/>
    <hyperlink ref="C13" r:id="rId3"/>
    <hyperlink ref="P13" r:id="rId4" display="https://www.youtube.com/watch?v=dCyLvDY2pSs"/>
  </hyperlinks>
  <pageMargins left="0.7" right="0.7" top="0.75" bottom="0.75" header="0.3" footer="0.3"/>
  <pageSetup paperSize="9" orientation="portrait" horizontalDpi="0" verticalDpi="0" r:id="rId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Folha1</vt:lpstr>
      <vt:lpstr>Folha2</vt:lpstr>
      <vt:lpstr>Folha3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silva</dc:creator>
  <cp:lastModifiedBy>mario silva</cp:lastModifiedBy>
  <dcterms:created xsi:type="dcterms:W3CDTF">2025-06-08T12:34:54Z</dcterms:created>
  <dcterms:modified xsi:type="dcterms:W3CDTF">2025-06-09T12:57:23Z</dcterms:modified>
</cp:coreProperties>
</file>